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e948520d90291d/Área de Trabalho/Estudos - Dados/Reclame AQUI - Dados e IA na Prática/Projetos/"/>
    </mc:Choice>
  </mc:AlternateContent>
  <xr:revisionPtr revIDLastSave="0" documentId="14_{9B7E270C-B3FA-4B5B-A3E1-C1B76F0E9F5F}" xr6:coauthVersionLast="47" xr6:coauthVersionMax="47" xr10:uidLastSave="{00000000-0000-0000-0000-000000000000}"/>
  <bookViews>
    <workbookView xWindow="28680" yWindow="-120" windowWidth="21840" windowHeight="130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<sst xmlns="http://schemas.openxmlformats.org/spreadsheetml/2006/main" count="2023" uniqueCount="325">
  <si>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</si>
  <si>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</si>
  <si>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</si>
  <si>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</si>
  <si>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</si>
  <si>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</si>
  <si>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</si>
  <si>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</si>
  <si>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</si>
  <si>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</si>
  <si>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</si>
  <si>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</si>
  <si>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</si>
  <si>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</si>
  <si>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</si>
  <si>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</si>
  <si>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</si>
  <si>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</si>
  <si>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</si>
  <si>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</si>
  <si>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</si>
  <si>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</si>
  <si>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</si>
  <si>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</si>
  <si>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</si>
  <si>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</si>
  <si>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</si>
  <si>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</si>
  <si>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</si>
  <si>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</si>
  <si>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</si>
  <si>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</si>
  <si>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</si>
  <si>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</si>
  <si>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</si>
  <si>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</si>
  <si>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</si>
  <si>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</si>
  <si>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</si>
  <si>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</si>
  <si>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</si>
  <si>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</si>
  <si>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</si>
  <si>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</si>
  <si>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</si>
  <si>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</si>
  <si>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</si>
  <si>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</si>
  <si>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</si>
  <si>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</si>
  <si>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</si>
  <si>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</si>
  <si>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</si>
  <si>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</si>
  <si>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</si>
  <si>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</si>
  <si>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</si>
  <si>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</si>
  <si>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</si>
  <si>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</si>
  <si>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</si>
  <si>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</si>
  <si>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</si>
  <si>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</si>
  <si>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</si>
  <si>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</si>
  <si>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</si>
  <si>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</si>
  <si>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</si>
  <si>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</si>
  <si>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</si>
  <si>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</si>
  <si>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</si>
  <si>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</si>
  <si>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</si>
  <si>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</si>
  <si>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</si>
  <si>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</si>
  <si>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</si>
  <si>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</si>
  <si>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</si>
  <si>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</si>
  <si>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</si>
  <si>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</si>
  <si>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</si>
  <si>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</si>
  <si>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</si>
  <si>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</si>
  <si>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</si>
  <si>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</si>
  <si>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</si>
  <si>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</si>
  <si>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</si>
  <si>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</si>
  <si>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</si>
  <si>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</si>
  <si>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</si>
  <si>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</si>
  <si>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</si>
  <si>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</si>
  <si>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</si>
  <si>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</si>
  <si>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</si>
  <si>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</si>
  <si>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</si>
  <si>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</si>
  <si>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</si>
  <si>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</si>
  <si>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</si>
  <si>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</si>
  <si>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</si>
  <si>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</si>
  <si>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</si>
  <si>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</si>
  <si>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</si>
  <si>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</si>
  <si>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</si>
  <si>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</si>
  <si>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</si>
  <si>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</si>
  <si>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</si>
  <si>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</si>
  <si>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</si>
  <si>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</si>
  <si>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</si>
  <si>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</si>
  <si>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</si>
  <si>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</si>
  <si>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</si>
  <si>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</si>
  <si>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</si>
  <si>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</si>
  <si>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</si>
  <si>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</si>
  <si>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</si>
  <si>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</si>
  <si>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</si>
  <si>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</si>
  <si>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</si>
  <si>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</si>
  <si>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</si>
  <si>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</si>
  <si>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</si>
  <si>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</si>
  <si>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</si>
  <si>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</si>
  <si>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</si>
  <si>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</si>
  <si>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</si>
  <si>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</si>
  <si>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</si>
  <si>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</si>
  <si>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</si>
  <si>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</si>
  <si>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</si>
  <si>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</si>
  <si>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</si>
  <si>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</si>
  <si>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</si>
  <si>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</si>
  <si>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</si>
  <si>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</si>
  <si>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</si>
  <si>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</si>
  <si>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</si>
  <si>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</si>
  <si>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</si>
  <si>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</si>
  <si>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</si>
  <si>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</si>
  <si>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</si>
  <si>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</si>
  <si>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</si>
  <si>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</si>
  <si>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</si>
  <si>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</si>
  <si>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</si>
  <si>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</si>
  <si>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</si>
  <si>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</si>
  <si>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</si>
  <si>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</si>
  <si>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</si>
  <si>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</si>
  <si>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</si>
  <si>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</si>
  <si>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</si>
  <si>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</si>
  <si>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</si>
  <si>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</si>
  <si>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</si>
  <si>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</si>
  <si>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</si>
  <si>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</si>
  <si>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</si>
  <si>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</si>
  <si>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</si>
  <si>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</si>
  <si>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</si>
  <si>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</si>
  <si>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</si>
  <si>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</si>
  <si>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</si>
  <si>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</si>
  <si>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</si>
  <si>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</si>
  <si>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</si>
  <si>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</si>
  <si>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</si>
  <si>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</si>
  <si>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</si>
  <si>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</si>
  <si>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</si>
  <si>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</si>
  <si>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</si>
  <si>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</si>
  <si>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</si>
  <si>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</si>
  <si>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</si>
  <si>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</si>
  <si>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</si>
  <si>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</si>
  <si>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</si>
  <si>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</si>
  <si>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</si>
  <si>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</si>
  <si>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</si>
  <si>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</si>
  <si>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</si>
  <si>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</si>
  <si>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</si>
  <si>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</si>
  <si>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</si>
  <si>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</si>
  <si>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</si>
  <si>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</si>
  <si>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</si>
  <si>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</si>
  <si>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</si>
  <si>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</si>
  <si>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</si>
  <si>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</si>
  <si>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</si>
  <si>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</si>
  <si>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</si>
  <si>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</si>
  <si>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</si>
  <si>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</si>
  <si>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</si>
  <si>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</si>
  <si>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</si>
  <si>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</si>
  <si>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</si>
  <si>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</si>
  <si>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</si>
  <si>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</si>
  <si>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</si>
  <si>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</si>
  <si>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</si>
  <si>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</si>
  <si>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</si>
  <si>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</si>
  <si>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</si>
  <si>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</si>
  <si>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</si>
  <si>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</si>
  <si>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</si>
  <si>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</si>
  <si>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</si>
  <si>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</si>
  <si>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</si>
  <si>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</si>
  <si>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</si>
  <si>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</si>
  <si>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</si>
  <si>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</si>
  <si>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</si>
  <si>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</si>
  <si>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</si>
  <si>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</si>
  <si>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</si>
  <si>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</si>
  <si>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</si>
  <si>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</si>
  <si>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</si>
  <si>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</si>
  <si>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</si>
  <si>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</si>
  <si>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</si>
  <si>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</si>
  <si>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</si>
  <si>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</si>
  <si>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</si>
  <si>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</si>
  <si>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</si>
  <si>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</si>
  <si>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</si>
  <si>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</si>
  <si>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</si>
  <si>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</si>
  <si>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</si>
  <si>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</si>
  <si>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</si>
  <si>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</si>
  <si>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</si>
  <si>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</si>
  <si>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</si>
  <si>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</si>
  <si>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</si>
  <si>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</si>
  <si>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</si>
  <si>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</si>
  <si>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</si>
  <si>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</si>
  <si>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</si>
  <si>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</si>
  <si>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</si>
  <si>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</si>
  <si>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</si>
  <si>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XBOX GAME PASS SUBSCRIPITIONS SALES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</si>
  <si>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</si>
  <si>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</si>
  <si>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</si>
  <si>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</si>
  <si>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Calculation period: 01/01/202/ - 31/12/2024 |Update: 07/10/2026 16:30:00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</si>
</sst>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0" tint="-0.499984740745262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center"/>
    </xf>
    <xf numFmtId="0" fontId="0" fillId="0" borderId="0" xfId="0" applyNumberFormat="1"/>
    <xf numFmtId="165" fontId="0" fillId="0" borderId="0" xfId="0" applyNumberFormat="1"/>
    <xf numFmtId="0" fontId="5" fillId="0" borderId="2" xfId="1" applyFont="1" applyBorder="1"/>
    <xf numFmtId="0" fontId="1" fillId="0" borderId="2" xfId="1" applyBorder="1"/>
    <xf numFmtId="0" fontId="0" fillId="0" borderId="2" xfId="0" applyBorder="1"/>
    <xf numFmtId="0" fontId="6" fillId="7" borderId="0" xfId="0" applyFont="1" applyFill="1" applyAlignment="1">
      <alignment horizontal="left" vertical="top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theme="1"/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3A9DF62-AC96-4FF6-B1E6-0630A1D7E41E}">
      <tableStyleElement type="wholeTable" dxfId="1"/>
      <tableStyleElement type="headerRow" dxfId="0"/>
    </tableStyle>
  </tableStyles>
  <colors>
    <mruColors>
      <color rgb="FF22C55E"/>
      <color rgb="FF92D050"/>
      <color rgb="FF5BF6A8"/>
      <color rgb="FF9BC848"/>
      <color rgb="FF2AE6B1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 Xbox.xlsx]C̳álculos!tbl_annual_total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D-4FAF-86E6-2F87C1A8B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997024"/>
        <c:axId val="2089614896"/>
      </c:barChart>
      <c:catAx>
        <c:axId val="211599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9614896"/>
        <c:crosses val="autoZero"/>
        <c:auto val="1"/>
        <c:lblAlgn val="ctr"/>
        <c:lblOffset val="100"/>
        <c:noMultiLvlLbl val="0"/>
      </c:catAx>
      <c:valAx>
        <c:axId val="20896148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1599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398008</xdr:colOff>
      <xdr:row>1</xdr:row>
      <xdr:rowOff>5102</xdr:rowOff>
    </xdr:from>
    <xdr:to>
      <xdr:col>0</xdr:col>
      <xdr:colOff>1387928</xdr:colOff>
      <xdr:row>3</xdr:row>
      <xdr:rowOff>30972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A340F3-5BBE-43C0-8C62-7287284DB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2" t="18635" r="73597" b="24292"/>
        <a:stretch>
          <a:fillRect/>
        </a:stretch>
      </xdr:blipFill>
      <xdr:spPr>
        <a:xfrm>
          <a:off x="398008" y="195602"/>
          <a:ext cx="989920" cy="11280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148477</xdr:rowOff>
    </xdr:from>
    <xdr:to>
      <xdr:col>0</xdr:col>
      <xdr:colOff>1828800</xdr:colOff>
      <xdr:row>11</xdr:row>
      <xdr:rowOff>149178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BC31CCCA-03AA-4F86-87AE-4C8D6193A2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39955"/>
              <a:ext cx="1828800" cy="1458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71436</xdr:colOff>
      <xdr:row>5</xdr:row>
      <xdr:rowOff>47625</xdr:rowOff>
    </xdr:from>
    <xdr:to>
      <xdr:col>9</xdr:col>
      <xdr:colOff>142875</xdr:colOff>
      <xdr:row>13</xdr:row>
      <xdr:rowOff>111919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B651F494-55C1-4F46-E74A-5E635A958CA7}"/>
            </a:ext>
          </a:extLst>
        </xdr:cNvPr>
        <xdr:cNvGrpSpPr/>
      </xdr:nvGrpSpPr>
      <xdr:grpSpPr>
        <a:xfrm>
          <a:off x="1910175" y="1737277"/>
          <a:ext cx="4602026" cy="1604859"/>
          <a:chOff x="1904999" y="1440656"/>
          <a:chExt cx="4560095" cy="158829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22932B6-6BCE-3C15-9C32-A8234F7B1820}"/>
              </a:ext>
            </a:extLst>
          </xdr:cNvPr>
          <xdr:cNvSpPr/>
        </xdr:nvSpPr>
        <xdr:spPr>
          <a:xfrm>
            <a:off x="1905000" y="1464469"/>
            <a:ext cx="4548187" cy="1488281"/>
          </a:xfrm>
          <a:prstGeom prst="roundRect">
            <a:avLst>
              <a:gd name="adj" fmla="val 68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1916787-35CD-4ADB-B08C-0677F34E610B}"/>
              </a:ext>
            </a:extLst>
          </xdr:cNvPr>
          <xdr:cNvSpPr/>
        </xdr:nvSpPr>
        <xdr:spPr>
          <a:xfrm>
            <a:off x="3643312" y="2002632"/>
            <a:ext cx="2595562" cy="785812"/>
          </a:xfrm>
          <a:prstGeom prst="roundRect">
            <a:avLst>
              <a:gd name="adj" fmla="val 68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3DFDF9F1-9BDC-42BE-A00C-E2B239D4EC36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2CE93468-07CA-4C3E-A6C3-44DF7EA40A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3126" y="1809750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0B99043-6AFE-46FA-54DC-C301A0ED9AFD}"/>
              </a:ext>
            </a:extLst>
          </xdr:cNvPr>
          <xdr:cNvSpPr/>
        </xdr:nvSpPr>
        <xdr:spPr>
          <a:xfrm>
            <a:off x="1904999" y="1440656"/>
            <a:ext cx="4560095" cy="48815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190499</xdr:colOff>
      <xdr:row>5</xdr:row>
      <xdr:rowOff>85725</xdr:rowOff>
    </xdr:from>
    <xdr:to>
      <xdr:col>18</xdr:col>
      <xdr:colOff>59532</xdr:colOff>
      <xdr:row>13</xdr:row>
      <xdr:rowOff>73819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4307B9D-EB23-D5E8-E5CB-3B811B15F549}"/>
            </a:ext>
          </a:extLst>
        </xdr:cNvPr>
        <xdr:cNvGrpSpPr/>
      </xdr:nvGrpSpPr>
      <xdr:grpSpPr>
        <a:xfrm>
          <a:off x="7172738" y="1775377"/>
          <a:ext cx="4598403" cy="1528659"/>
          <a:chOff x="7119937" y="1452563"/>
          <a:chExt cx="4560095" cy="1512094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4733E87C-685D-4B8D-AF90-CB6146E26534}"/>
              </a:ext>
            </a:extLst>
          </xdr:cNvPr>
          <xdr:cNvGrpSpPr/>
        </xdr:nvGrpSpPr>
        <xdr:grpSpPr>
          <a:xfrm>
            <a:off x="7119937" y="1452563"/>
            <a:ext cx="4560095" cy="1512094"/>
            <a:chOff x="1904999" y="1440656"/>
            <a:chExt cx="4560095" cy="1512094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BBD982AC-D44D-E340-C36C-648356503F56}"/>
                </a:ext>
              </a:extLst>
            </xdr:cNvPr>
            <xdr:cNvSpPr/>
          </xdr:nvSpPr>
          <xdr:spPr>
            <a:xfrm>
              <a:off x="1905000" y="1464469"/>
              <a:ext cx="4548187" cy="1488281"/>
            </a:xfrm>
            <a:prstGeom prst="roundRect">
              <a:avLst>
                <a:gd name="adj" fmla="val 686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ECE6280E-0399-9A28-6EB5-CD61A2B5B2B1}"/>
                </a:ext>
              </a:extLst>
            </xdr:cNvPr>
            <xdr:cNvSpPr/>
          </xdr:nvSpPr>
          <xdr:spPr>
            <a:xfrm>
              <a:off x="3738561" y="2050257"/>
              <a:ext cx="2595562" cy="785812"/>
            </a:xfrm>
            <a:prstGeom prst="roundRect">
              <a:avLst>
                <a:gd name="adj" fmla="val 686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81CFB25C-812D-4C9E-A379-79DA22107727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en-US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B2BDDC32-C1C3-55FD-3D5D-98FB8367B700}"/>
                </a:ext>
              </a:extLst>
            </xdr:cNvPr>
            <xdr:cNvSpPr/>
          </xdr:nvSpPr>
          <xdr:spPr>
            <a:xfrm>
              <a:off x="1904999" y="1440656"/>
              <a:ext cx="4560095" cy="48815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ysClr val="windowText" lastClr="0000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8811404E-2F71-4092-A698-2241921FAB7A}"/>
              </a:ext>
            </a:extLst>
          </xdr:cNvPr>
          <xdr:cNvGrpSpPr/>
        </xdr:nvGrpSpPr>
        <xdr:grpSpPr>
          <a:xfrm>
            <a:off x="7381875" y="2083587"/>
            <a:ext cx="1202530" cy="606398"/>
            <a:chOff x="3536812" y="5440277"/>
            <a:chExt cx="1384929" cy="672359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5169748B-5998-8530-A44C-BB07885751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80880" y="5440277"/>
              <a:ext cx="358484" cy="393398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A8DE3B58-34F3-EFAD-DB19-53A0AA0AE7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536812" y="5882737"/>
              <a:ext cx="1384929" cy="229899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59530</xdr:colOff>
      <xdr:row>14</xdr:row>
      <xdr:rowOff>59532</xdr:rowOff>
    </xdr:from>
    <xdr:to>
      <xdr:col>18</xdr:col>
      <xdr:colOff>67236</xdr:colOff>
      <xdr:row>30</xdr:row>
      <xdr:rowOff>154779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19023AA1-14D5-D601-5B53-030FA1156EF1}"/>
            </a:ext>
          </a:extLst>
        </xdr:cNvPr>
        <xdr:cNvGrpSpPr/>
      </xdr:nvGrpSpPr>
      <xdr:grpSpPr>
        <a:xfrm>
          <a:off x="1898269" y="3480249"/>
          <a:ext cx="9880576" cy="3143247"/>
          <a:chOff x="1897295" y="3174767"/>
          <a:chExt cx="9756823" cy="314324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F076E9DF-F340-72BA-A9FF-61C1A0068D88}"/>
              </a:ext>
            </a:extLst>
          </xdr:cNvPr>
          <xdr:cNvGrpSpPr/>
        </xdr:nvGrpSpPr>
        <xdr:grpSpPr>
          <a:xfrm>
            <a:off x="1897295" y="3186671"/>
            <a:ext cx="9756823" cy="3131343"/>
            <a:chOff x="1905001" y="1345407"/>
            <a:chExt cx="4607717" cy="283130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30CB9FC-7784-5B49-52B3-040C85A06BF0}"/>
                </a:ext>
              </a:extLst>
            </xdr:cNvPr>
            <xdr:cNvSpPr/>
          </xdr:nvSpPr>
          <xdr:spPr>
            <a:xfrm>
              <a:off x="1905001" y="1345407"/>
              <a:ext cx="4607717" cy="2774157"/>
            </a:xfrm>
            <a:prstGeom prst="roundRect">
              <a:avLst>
                <a:gd name="adj" fmla="val 55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0261563-4D9E-458E-90B5-EF274226A9FD}"/>
                </a:ext>
              </a:extLst>
            </xdr:cNvPr>
            <xdr:cNvGraphicFramePr>
              <a:graphicFrameLocks/>
            </xdr:cNvGraphicFramePr>
          </xdr:nvGraphicFramePr>
          <xdr:xfrm>
            <a:off x="2081465" y="1990066"/>
            <a:ext cx="4252661" cy="218664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6D54D5C8-4797-4AD5-ACAB-CFAB1FFD80BA}"/>
              </a:ext>
            </a:extLst>
          </xdr:cNvPr>
          <xdr:cNvSpPr/>
        </xdr:nvSpPr>
        <xdr:spPr>
          <a:xfrm>
            <a:off x="1897296" y="3174767"/>
            <a:ext cx="9756822" cy="6461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HS" refreshedDate="46302.539034259258" createdVersion="8" refreshedVersion="8" minRefreshableVersion="3" recordCount="295" xr:uid="{E82602D0-E41D-4F50-84ED-FE12F9DBD5D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664797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1B98F-5273-4BEB-A068-9D6688217773}" name="Tabela dinâmica3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sd="0" x="1"/>
        <item sd="0" x="0"/>
        <item sd="0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579D7-97CA-44BA-B916-07361D1329D2}" name="tbl_easeasonpass_total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sd="0" x="1"/>
        <item sd="0" x="0"/>
        <item sd="0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DE62B-8791-4542-8BC8-8C39D1689162}" name="tbl_annual_total" cacheId="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87BCEA2-0354-4E57-A837-4BCB641F7A7A}" sourceName="Subscription Type">
  <pivotTables>
    <pivotTable tabId="3" name="tbl_annual_total"/>
    <pivotTable tabId="3" name="tbl_easeasonpass_total"/>
    <pivotTable tabId="3" name="Tabela dinâmica3"/>
  </pivotTables>
  <data>
    <tabular pivotCacheId="146647978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E993590-1E4E-40BA-919B-E7A880B338F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10" sqref="G1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13" workbookViewId="0">
      <selection activeCell="E36" sqref="E36"/>
    </sheetView>
  </sheetViews>
  <sheetFormatPr defaultRowHeight="15" x14ac:dyDescent="0.25"/>
  <cols>
    <col min="2" max="2" width="21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5" x14ac:dyDescent="0.25">
      <c r="B3" s="15" t="s">
        <v>313</v>
      </c>
      <c r="C3" s="15"/>
      <c r="D3" s="15"/>
      <c r="E3" s="15"/>
    </row>
    <row r="6" spans="2:5" x14ac:dyDescent="0.25">
      <c r="B6" t="s">
        <v>314</v>
      </c>
    </row>
    <row r="7" spans="2:5" x14ac:dyDescent="0.25">
      <c r="B7" t="s">
        <v>318</v>
      </c>
    </row>
    <row r="9" spans="2:5" x14ac:dyDescent="0.25">
      <c r="B9" s="12" t="s">
        <v>16</v>
      </c>
      <c r="C9" t="s">
        <v>24</v>
      </c>
    </row>
    <row r="11" spans="2:5" x14ac:dyDescent="0.25">
      <c r="B11" s="12" t="s">
        <v>315</v>
      </c>
      <c r="C11" t="s">
        <v>317</v>
      </c>
    </row>
    <row r="12" spans="2:5" x14ac:dyDescent="0.25">
      <c r="B12" s="13" t="s">
        <v>23</v>
      </c>
      <c r="C12" s="14">
        <v>217</v>
      </c>
    </row>
    <row r="13" spans="2:5" x14ac:dyDescent="0.25">
      <c r="B13" s="13" t="s">
        <v>19</v>
      </c>
      <c r="C13" s="14">
        <v>1537</v>
      </c>
    </row>
    <row r="14" spans="2:5" x14ac:dyDescent="0.25">
      <c r="B14" s="13" t="s">
        <v>316</v>
      </c>
      <c r="C14" s="14">
        <v>1754</v>
      </c>
    </row>
    <row r="17" spans="2:5" x14ac:dyDescent="0.25">
      <c r="B17" s="13" t="s">
        <v>320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315</v>
      </c>
      <c r="C21" t="s">
        <v>321</v>
      </c>
    </row>
    <row r="22" spans="2:5" x14ac:dyDescent="0.25">
      <c r="B22" s="13" t="s">
        <v>22</v>
      </c>
      <c r="C22" s="16">
        <v>0</v>
      </c>
    </row>
    <row r="23" spans="2:5" x14ac:dyDescent="0.25">
      <c r="B23" s="13" t="s">
        <v>26</v>
      </c>
      <c r="C23" s="16">
        <v>0</v>
      </c>
    </row>
    <row r="24" spans="2:5" x14ac:dyDescent="0.25">
      <c r="B24" s="13" t="s">
        <v>18</v>
      </c>
      <c r="C24" s="16">
        <v>600</v>
      </c>
    </row>
    <row r="25" spans="2:5" x14ac:dyDescent="0.25">
      <c r="B25" s="13" t="s">
        <v>316</v>
      </c>
      <c r="C25" s="16">
        <v>600</v>
      </c>
      <c r="E25" s="17">
        <f>GETPIVOTDATA("EA Play Season Pass
Price",$B$21)</f>
        <v>600</v>
      </c>
    </row>
    <row r="28" spans="2:5" x14ac:dyDescent="0.25">
      <c r="B28" s="13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315</v>
      </c>
      <c r="C32" t="s">
        <v>323</v>
      </c>
    </row>
    <row r="33" spans="2:5" x14ac:dyDescent="0.25">
      <c r="B33" s="13" t="s">
        <v>22</v>
      </c>
      <c r="C33" s="14">
        <v>0</v>
      </c>
    </row>
    <row r="34" spans="2:5" x14ac:dyDescent="0.25">
      <c r="B34" s="13" t="s">
        <v>26</v>
      </c>
      <c r="C34" s="14">
        <v>540</v>
      </c>
    </row>
    <row r="35" spans="2:5" x14ac:dyDescent="0.25">
      <c r="B35" s="13" t="s">
        <v>18</v>
      </c>
      <c r="C35" s="14">
        <v>400</v>
      </c>
    </row>
    <row r="36" spans="2:5" x14ac:dyDescent="0.25">
      <c r="B36" s="13" t="s">
        <v>316</v>
      </c>
      <c r="C36" s="14">
        <v>940</v>
      </c>
      <c r="E36" s="17">
        <f>GETPIVOTDATA("Minecraft Season Pass Price",$B$32)</f>
        <v>940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287"/>
  <sheetViews>
    <sheetView showGridLines="0" showRowColHeaders="0" tabSelected="1" zoomScale="115" zoomScaleNormal="115" workbookViewId="0">
      <selection activeCell="J5" sqref="J5"/>
    </sheetView>
  </sheetViews>
  <sheetFormatPr defaultRowHeight="15" x14ac:dyDescent="0.25"/>
  <cols>
    <col min="1" max="1" width="27.5703125" style="4" customWidth="1"/>
    <col min="2" max="2" width="3.5703125" customWidth="1"/>
    <col min="12" max="12" width="6.5703125" customWidth="1"/>
  </cols>
  <sheetData>
    <row r="2" spans="1:18" ht="60.75" customHeight="1" thickBot="1" x14ac:dyDescent="0.5">
      <c r="C2" s="18" t="s">
        <v>319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  <c r="P2" s="20"/>
      <c r="Q2" s="20"/>
      <c r="R2" s="20"/>
    </row>
    <row r="3" spans="1:18" ht="25.5" customHeight="1" thickTop="1" x14ac:dyDescent="0.25"/>
    <row r="4" spans="1:18" s="7" customFormat="1" ht="8.25" customHeight="1" x14ac:dyDescent="0.25">
      <c r="A4" s="4"/>
    </row>
    <row r="5" spans="1:18" s="7" customFormat="1" ht="23.25" customHeight="1" x14ac:dyDescent="0.25">
      <c r="A5" s="4"/>
      <c r="C5" s="21" t="s">
        <v>324</v>
      </c>
    </row>
    <row r="6" spans="1:18" s="7" customFormat="1" ht="7.5" customHeight="1" x14ac:dyDescent="0.25">
      <c r="A6" s="4"/>
    </row>
    <row r="7" spans="1:18" s="7" customFormat="1" ht="10.5" customHeight="1" x14ac:dyDescent="0.25">
      <c r="A7" s="4"/>
    </row>
    <row r="8" spans="1:18" s="7" customFormat="1" ht="9.75" customHeight="1" x14ac:dyDescent="0.25">
      <c r="A8" s="4"/>
    </row>
    <row r="9" spans="1:18" s="7" customFormat="1" ht="33" customHeigh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Leonardo Shinzato</cp:lastModifiedBy>
  <dcterms:created xsi:type="dcterms:W3CDTF">2024-12-19T13:13:10Z</dcterms:created>
  <dcterms:modified xsi:type="dcterms:W3CDTF">2026-10-07T20:52:45Z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